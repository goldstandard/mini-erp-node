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nonwovens-my.sharepoint.com/personal/mfischer_pfnonwovens_com/Documents/Desktop/mini-erp-node/data/"/>
    </mc:Choice>
  </mc:AlternateContent>
  <xr:revisionPtr revIDLastSave="18" documentId="8_{C6548BC8-CA42-4559-8600-EAF9DA2632C5}" xr6:coauthVersionLast="47" xr6:coauthVersionMax="47" xr10:uidLastSave="{C2D8885E-1209-4475-96B8-016FC72D1F6D}"/>
  <bookViews>
    <workbookView xWindow="28680" yWindow="-11055" windowWidth="29040" windowHeight="17520" xr2:uid="{0B1B352E-DC25-469F-B937-49F3D8493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C18" i="1"/>
  <c r="D18" i="1"/>
  <c r="E18" i="1"/>
  <c r="F18" i="1"/>
  <c r="G18" i="1"/>
  <c r="H18" i="1"/>
  <c r="I18" i="1"/>
  <c r="J18" i="1"/>
  <c r="K18" i="1"/>
  <c r="O18" i="1"/>
  <c r="P18" i="1"/>
  <c r="Q18" i="1"/>
  <c r="B18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M18" i="1" l="1"/>
  <c r="N18" i="1"/>
  <c r="L18" i="1"/>
</calcChain>
</file>

<file path=xl/sharedStrings.xml><?xml version="1.0" encoding="utf-8"?>
<sst xmlns="http://schemas.openxmlformats.org/spreadsheetml/2006/main" count="61" uniqueCount="35">
  <si>
    <t>CZ</t>
  </si>
  <si>
    <t>EG</t>
  </si>
  <si>
    <t>RSA</t>
  </si>
  <si>
    <t>CZK</t>
  </si>
  <si>
    <t>USD</t>
  </si>
  <si>
    <t>ZAR</t>
  </si>
  <si>
    <t>CZ01</t>
  </si>
  <si>
    <t>CZ02</t>
  </si>
  <si>
    <t>CZ03</t>
  </si>
  <si>
    <t>CZ05</t>
  </si>
  <si>
    <t>CZ07</t>
  </si>
  <si>
    <t>CZ08</t>
  </si>
  <si>
    <t>CZ09</t>
  </si>
  <si>
    <t>CZ10</t>
  </si>
  <si>
    <t>CZ11</t>
  </si>
  <si>
    <t>CZ12</t>
  </si>
  <si>
    <t>CZ12s</t>
  </si>
  <si>
    <t>CZ12a</t>
  </si>
  <si>
    <t>CZ12b</t>
  </si>
  <si>
    <t>EG01</t>
  </si>
  <si>
    <t>ZA01</t>
  </si>
  <si>
    <t>ZA02</t>
  </si>
  <si>
    <t>Wages</t>
  </si>
  <si>
    <t>Maintenance</t>
  </si>
  <si>
    <t>Cores</t>
  </si>
  <si>
    <t>Packaging</t>
  </si>
  <si>
    <t>Pallets</t>
  </si>
  <si>
    <t>Energy</t>
  </si>
  <si>
    <t>Country</t>
  </si>
  <si>
    <t>Currency</t>
  </si>
  <si>
    <t>Line ID</t>
  </si>
  <si>
    <t>Cash Cost per hour</t>
  </si>
  <si>
    <t>Cost per produced Ton</t>
  </si>
  <si>
    <t>SG&amp;A_and_overhead</t>
  </si>
  <si>
    <t>Other_costs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</si>
</sst>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name val="Aptos Narrow"/>
      <family val="2"/>
      <charset val="238"/>
      <scheme val="minor"/>
    </font>
    <font>
      <i/>
      <sz val="8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i/>
      <sz val="11"/>
      <name val="Aptos Narrow"/>
      <family val="2"/>
      <charset val="238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1" fontId="1" fillId="2" borderId="0" xfId="0" applyNumberFormat="1" applyFont="1" applyFill="1"/>
    <xf numFmtId="0" fontId="5" fillId="0" borderId="1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1" fontId="0" fillId="3" borderId="0" xfId="0" applyNumberFormat="1" applyFill="1"/>
    <xf numFmtId="1" fontId="5" fillId="3" borderId="0" xfId="0" applyNumberFormat="1" applyFont="1" applyFill="1"/>
    <xf numFmtId="1" fontId="6" fillId="4" borderId="6" xfId="0" applyNumberFormat="1" applyFont="1" applyFill="1" applyBorder="1"/>
    <xf numFmtId="1" fontId="6" fillId="5" borderId="6" xfId="0" applyNumberFormat="1" applyFont="1" applyFill="1" applyBorder="1"/>
  </cellXfs>
  <cellStyles count="1">
    <cellStyle name="Normal" xfId="0" builtinId="0"/>
  </cellStyles>
  <dxfs count="1">
    <dxf>
      <font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43BE-9E0B-4593-8594-E138D7FDC3EF}">
  <dimension ref="A1:Q19"/>
  <sheetViews>
    <sheetView tabSelected="1" workbookViewId="0">
      <selection activeCell="A8" sqref="A8"/>
    </sheetView>
  </sheetViews>
  <sheetFormatPr defaultRowHeight="14.4" x14ac:dyDescent="0.3"/>
  <cols>
    <col min="1" max="1" width="25" bestFit="1" customWidth="1"/>
  </cols>
  <sheetData>
    <row r="1" spans="1:17" ht="15" thickBot="1" x14ac:dyDescent="0.35">
      <c r="A1" s="5" t="s">
        <v>30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  <c r="P1" s="6" t="s">
        <v>20</v>
      </c>
      <c r="Q1" s="6" t="s">
        <v>21</v>
      </c>
    </row>
    <row r="2" spans="1:17" x14ac:dyDescent="0.3">
      <c r="A2" s="4" t="s">
        <v>28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0</v>
      </c>
      <c r="N2" s="3" t="s">
        <v>0</v>
      </c>
      <c r="O2" s="3" t="s">
        <v>1</v>
      </c>
      <c r="P2" s="3" t="s">
        <v>2</v>
      </c>
      <c r="Q2" s="3" t="s">
        <v>2</v>
      </c>
    </row>
    <row r="3" spans="1:17" x14ac:dyDescent="0.3">
      <c r="A3" s="10" t="s">
        <v>29</v>
      </c>
      <c r="B3" s="11" t="s">
        <v>3</v>
      </c>
      <c r="C3" s="11" t="s">
        <v>3</v>
      </c>
      <c r="D3" s="11" t="s">
        <v>3</v>
      </c>
      <c r="E3" s="11" t="s">
        <v>3</v>
      </c>
      <c r="F3" s="11" t="s">
        <v>3</v>
      </c>
      <c r="G3" s="11" t="s">
        <v>3</v>
      </c>
      <c r="H3" s="11" t="s">
        <v>3</v>
      </c>
      <c r="I3" s="11" t="s">
        <v>3</v>
      </c>
      <c r="J3" s="11" t="s">
        <v>3</v>
      </c>
      <c r="K3" s="11" t="s">
        <v>3</v>
      </c>
      <c r="L3" s="11" t="s">
        <v>3</v>
      </c>
      <c r="M3" s="11" t="s">
        <v>3</v>
      </c>
      <c r="N3" s="11" t="s">
        <v>3</v>
      </c>
      <c r="O3" s="11" t="s">
        <v>4</v>
      </c>
      <c r="P3" s="11" t="s">
        <v>5</v>
      </c>
      <c r="Q3" s="11" t="s">
        <v>5</v>
      </c>
    </row>
    <row r="4" spans="1:17" x14ac:dyDescent="0.3">
      <c r="A4" s="7" t="s">
        <v>27</v>
      </c>
      <c r="B4" s="8">
        <v>1134.2684717104767</v>
      </c>
      <c r="C4" s="8">
        <v>2302.6269778258397</v>
      </c>
      <c r="D4" s="8">
        <v>3537.9055858526585</v>
      </c>
      <c r="E4" s="8">
        <v>4797.7453902433663</v>
      </c>
      <c r="F4" s="8">
        <v>4429.6516653200697</v>
      </c>
      <c r="G4" s="8">
        <v>7980.4656928122022</v>
      </c>
      <c r="H4" s="8">
        <v>8903.8139168417474</v>
      </c>
      <c r="I4" s="8">
        <v>7672.6227332169919</v>
      </c>
      <c r="J4" s="8">
        <v>4982.7780413007986</v>
      </c>
      <c r="K4" s="8">
        <v>5147.1297515429069</v>
      </c>
      <c r="L4" s="8">
        <f>$K$4*L16</f>
        <v>10294.259503085814</v>
      </c>
      <c r="M4" s="8">
        <f>$K$4*M16</f>
        <v>9264.8335527772324</v>
      </c>
      <c r="N4" s="8">
        <f>$K$4*N16</f>
        <v>7720.6946273143603</v>
      </c>
      <c r="O4" s="8">
        <v>175.83390829449192</v>
      </c>
      <c r="P4" s="8">
        <v>4285.074856725505</v>
      </c>
      <c r="Q4" s="8">
        <v>5072.9895633173146</v>
      </c>
    </row>
    <row r="5" spans="1:17" x14ac:dyDescent="0.3">
      <c r="A5" s="7" t="s">
        <v>22</v>
      </c>
      <c r="B5" s="8">
        <v>1781.1808290802858</v>
      </c>
      <c r="C5" s="8">
        <v>2291.3314374211</v>
      </c>
      <c r="D5" s="8">
        <v>2349.4359277284284</v>
      </c>
      <c r="E5" s="8">
        <v>2489.7891784242811</v>
      </c>
      <c r="F5" s="8">
        <v>2542.3972998455874</v>
      </c>
      <c r="G5" s="8">
        <v>2769.3980360891733</v>
      </c>
      <c r="H5" s="8">
        <v>2728.7193819695394</v>
      </c>
      <c r="I5" s="8">
        <v>2742.6379703808875</v>
      </c>
      <c r="J5" s="8">
        <v>2317.6111792775</v>
      </c>
      <c r="K5" s="8">
        <v>2785.7293811171899</v>
      </c>
      <c r="L5" s="8">
        <f>K5</f>
        <v>2785.7293811171899</v>
      </c>
      <c r="M5" s="8">
        <f>K5</f>
        <v>2785.7293811171899</v>
      </c>
      <c r="N5" s="8">
        <f>K5</f>
        <v>2785.7293811171899</v>
      </c>
      <c r="O5" s="8">
        <v>42.589010484330444</v>
      </c>
      <c r="P5" s="8">
        <v>1189.6943098574795</v>
      </c>
      <c r="Q5" s="8">
        <v>1152.5324985085999</v>
      </c>
    </row>
    <row r="6" spans="1:17" x14ac:dyDescent="0.3">
      <c r="A6" s="7" t="s">
        <v>23</v>
      </c>
      <c r="B6" s="8">
        <v>398.09856336383007</v>
      </c>
      <c r="C6" s="8">
        <v>828.84073182695317</v>
      </c>
      <c r="D6" s="8">
        <v>743.30896556001437</v>
      </c>
      <c r="E6" s="8">
        <v>2104.5063571555083</v>
      </c>
      <c r="F6" s="8">
        <v>1170.5633680745702</v>
      </c>
      <c r="G6" s="8">
        <v>2896.1213129983512</v>
      </c>
      <c r="H6" s="8">
        <v>1636.4524457990797</v>
      </c>
      <c r="I6" s="8">
        <v>2191.6299873849543</v>
      </c>
      <c r="J6" s="8">
        <v>1096.4392353445423</v>
      </c>
      <c r="K6" s="8">
        <v>2699.1291833597575</v>
      </c>
      <c r="L6" s="8">
        <f t="shared" ref="L6:L8" si="0">K6</f>
        <v>2699.1291833597575</v>
      </c>
      <c r="M6" s="8">
        <f t="shared" ref="M6:M8" si="1">K6</f>
        <v>2699.1291833597575</v>
      </c>
      <c r="N6" s="8">
        <f t="shared" ref="N6:N8" si="2">K6</f>
        <v>2699.1291833597575</v>
      </c>
      <c r="O6" s="8">
        <v>67.328511832515048</v>
      </c>
      <c r="P6" s="8">
        <v>1016.0373247561704</v>
      </c>
      <c r="Q6" s="8">
        <v>1077.8599027363016</v>
      </c>
    </row>
    <row r="7" spans="1:17" x14ac:dyDescent="0.3">
      <c r="A7" s="7" t="s">
        <v>34</v>
      </c>
      <c r="B7" s="8">
        <v>687.999753200643</v>
      </c>
      <c r="C7" s="8">
        <v>1185.5672376219902</v>
      </c>
      <c r="D7" s="8">
        <v>1750.6835300469827</v>
      </c>
      <c r="E7" s="8">
        <v>2215.930731114096</v>
      </c>
      <c r="F7" s="8">
        <v>2129.0459544300943</v>
      </c>
      <c r="G7" s="8">
        <v>2973.0323970230456</v>
      </c>
      <c r="H7" s="8">
        <v>3965.4218723401623</v>
      </c>
      <c r="I7" s="8">
        <v>3272.1625177104265</v>
      </c>
      <c r="J7" s="8">
        <v>2380.1046703180587</v>
      </c>
      <c r="K7" s="8">
        <v>1240.1938639694019</v>
      </c>
      <c r="L7" s="8">
        <f t="shared" si="0"/>
        <v>1240.1938639694019</v>
      </c>
      <c r="M7" s="8">
        <f t="shared" si="1"/>
        <v>1240.1938639694019</v>
      </c>
      <c r="N7" s="8">
        <f t="shared" si="2"/>
        <v>1240.1938639694019</v>
      </c>
      <c r="O7" s="8">
        <v>10.129852895278495</v>
      </c>
      <c r="P7" s="8">
        <v>2193.8920025804673</v>
      </c>
      <c r="Q7" s="8">
        <v>2898.297757074346</v>
      </c>
    </row>
    <row r="8" spans="1:17" x14ac:dyDescent="0.3">
      <c r="A8" s="7" t="s">
        <v>33</v>
      </c>
      <c r="B8" s="8">
        <v>553.16503476546882</v>
      </c>
      <c r="C8" s="8">
        <v>973.45293013503647</v>
      </c>
      <c r="D8" s="8">
        <v>1359.5633909266937</v>
      </c>
      <c r="E8" s="8">
        <v>1900.5552646348299</v>
      </c>
      <c r="F8" s="8">
        <v>1784.2770372956106</v>
      </c>
      <c r="G8" s="8">
        <v>3122.3156177016995</v>
      </c>
      <c r="H8" s="8">
        <v>2982.3777572782706</v>
      </c>
      <c r="I8" s="8">
        <v>3272.0952478264617</v>
      </c>
      <c r="J8" s="8">
        <v>1575.1480717239338</v>
      </c>
      <c r="K8" s="8">
        <v>1220.5122103145911</v>
      </c>
      <c r="L8" s="8">
        <f t="shared" si="0"/>
        <v>1220.5122103145911</v>
      </c>
      <c r="M8" s="8">
        <f t="shared" si="1"/>
        <v>1220.5122103145911</v>
      </c>
      <c r="N8" s="8">
        <f t="shared" si="2"/>
        <v>1220.5122103145911</v>
      </c>
      <c r="O8" s="8">
        <v>340.52843215998968</v>
      </c>
      <c r="P8" s="8">
        <v>2606.5690152486864</v>
      </c>
      <c r="Q8" s="8">
        <v>3611.060323537261</v>
      </c>
    </row>
    <row r="9" spans="1:17" x14ac:dyDescent="0.3">
      <c r="A9" s="9" t="s">
        <v>24</v>
      </c>
      <c r="B9" s="13">
        <v>705.81675291472277</v>
      </c>
      <c r="C9" s="13">
        <v>432.04454155528606</v>
      </c>
      <c r="D9" s="13">
        <v>480.08084698443264</v>
      </c>
      <c r="E9" s="13">
        <v>178.092714132596</v>
      </c>
      <c r="F9" s="13">
        <v>130.90074753463995</v>
      </c>
      <c r="G9" s="13">
        <v>609.15455346921738</v>
      </c>
      <c r="H9" s="13">
        <v>389.96943640154836</v>
      </c>
      <c r="I9" s="13">
        <v>573.35914980061693</v>
      </c>
      <c r="J9" s="13">
        <v>507.68705094854994</v>
      </c>
      <c r="K9" s="13">
        <v>604.90896242171107</v>
      </c>
      <c r="L9" s="13">
        <v>604.90896242171107</v>
      </c>
      <c r="M9" s="13">
        <v>604.90896242171107</v>
      </c>
      <c r="N9" s="13">
        <v>604.90896242171107</v>
      </c>
      <c r="O9" s="14">
        <v>22.657157345237021</v>
      </c>
      <c r="P9" s="14">
        <v>860</v>
      </c>
      <c r="Q9" s="14">
        <v>860</v>
      </c>
    </row>
    <row r="10" spans="1:17" x14ac:dyDescent="0.3">
      <c r="A10" s="9" t="s">
        <v>25</v>
      </c>
      <c r="B10" s="13">
        <v>584.62119834967996</v>
      </c>
      <c r="C10" s="13">
        <v>253.63622097970816</v>
      </c>
      <c r="D10" s="13">
        <v>174.23544787347154</v>
      </c>
      <c r="E10" s="13">
        <v>255.68885323381608</v>
      </c>
      <c r="F10" s="13">
        <v>286.66285761909432</v>
      </c>
      <c r="G10" s="13">
        <v>348.64711821411117</v>
      </c>
      <c r="H10" s="13">
        <v>235.18735899998356</v>
      </c>
      <c r="I10" s="13">
        <v>279.26375592506207</v>
      </c>
      <c r="J10" s="13">
        <v>116.02995217506408</v>
      </c>
      <c r="K10" s="13">
        <v>124.75835908141966</v>
      </c>
      <c r="L10" s="13">
        <v>124.75835908141966</v>
      </c>
      <c r="M10" s="13">
        <v>124.75835908141966</v>
      </c>
      <c r="N10" s="13">
        <v>124.75835908141966</v>
      </c>
      <c r="O10" s="14">
        <v>9.2049397025358566</v>
      </c>
      <c r="P10" s="14">
        <v>236</v>
      </c>
      <c r="Q10" s="14">
        <v>236</v>
      </c>
    </row>
    <row r="11" spans="1:17" x14ac:dyDescent="0.3">
      <c r="A11" s="9" t="s">
        <v>26</v>
      </c>
      <c r="B11" s="13">
        <v>0</v>
      </c>
      <c r="C11" s="13">
        <v>122.38368982658245</v>
      </c>
      <c r="D11" s="13">
        <v>159.36767878562563</v>
      </c>
      <c r="E11" s="13">
        <v>0</v>
      </c>
      <c r="F11" s="13">
        <v>0</v>
      </c>
      <c r="G11" s="13">
        <v>0</v>
      </c>
      <c r="H11" s="13">
        <v>6.8503372692735995</v>
      </c>
      <c r="I11" s="13">
        <v>15.408772853810849</v>
      </c>
      <c r="J11" s="13">
        <v>59.040165751604953</v>
      </c>
      <c r="K11" s="13">
        <v>5.9063674321503132</v>
      </c>
      <c r="L11" s="13">
        <v>5.9063674321503132</v>
      </c>
      <c r="M11" s="13">
        <v>5.9063674321503132</v>
      </c>
      <c r="N11" s="13">
        <v>5.9063674321503132</v>
      </c>
      <c r="O11" s="14">
        <v>2.8966364415134778</v>
      </c>
      <c r="P11" s="14">
        <v>47</v>
      </c>
      <c r="Q11" s="14">
        <v>47</v>
      </c>
    </row>
    <row r="16" spans="1:17" x14ac:dyDescent="0.3">
      <c r="K16" s="2">
        <v>1</v>
      </c>
      <c r="L16" s="2">
        <v>2</v>
      </c>
      <c r="M16" s="2">
        <v>1.8</v>
      </c>
      <c r="N16" s="2">
        <v>1.5</v>
      </c>
    </row>
    <row r="17" spans="1:17" x14ac:dyDescent="0.3">
      <c r="J17" s="1"/>
      <c r="O17" s="1"/>
    </row>
    <row r="18" spans="1:17" x14ac:dyDescent="0.3">
      <c r="A18" s="12" t="s">
        <v>31</v>
      </c>
      <c r="B18" s="16">
        <f t="shared" ref="B18:Q18" si="3">B4+B5+B6+B7+B8</f>
        <v>4554.7126521207038</v>
      </c>
      <c r="C18" s="16">
        <f t="shared" si="3"/>
        <v>7581.8193148309192</v>
      </c>
      <c r="D18" s="16">
        <f t="shared" si="3"/>
        <v>9740.8974001147781</v>
      </c>
      <c r="E18" s="16">
        <f t="shared" si="3"/>
        <v>13508.526921572082</v>
      </c>
      <c r="F18" s="16">
        <f t="shared" si="3"/>
        <v>12055.935324965933</v>
      </c>
      <c r="G18" s="16">
        <f t="shared" si="3"/>
        <v>19741.333056624473</v>
      </c>
      <c r="H18" s="16">
        <f t="shared" si="3"/>
        <v>20216.785374228799</v>
      </c>
      <c r="I18" s="16">
        <f t="shared" si="3"/>
        <v>19151.148456519724</v>
      </c>
      <c r="J18" s="16">
        <f t="shared" si="3"/>
        <v>12352.081197964833</v>
      </c>
      <c r="K18" s="16">
        <f t="shared" si="3"/>
        <v>13092.694390303846</v>
      </c>
      <c r="L18" s="16">
        <f t="shared" si="3"/>
        <v>18239.824141846755</v>
      </c>
      <c r="M18" s="16">
        <f t="shared" si="3"/>
        <v>17210.39819153817</v>
      </c>
      <c r="N18" s="16">
        <f t="shared" si="3"/>
        <v>15666.2592660753</v>
      </c>
      <c r="O18" s="16">
        <f t="shared" si="3"/>
        <v>636.40971566660551</v>
      </c>
      <c r="P18" s="16">
        <f t="shared" si="3"/>
        <v>11291.267509168309</v>
      </c>
      <c r="Q18" s="16">
        <f t="shared" si="3"/>
        <v>13812.740045173825</v>
      </c>
    </row>
    <row r="19" spans="1:17" x14ac:dyDescent="0.3">
      <c r="A19" s="12" t="s">
        <v>32</v>
      </c>
      <c r="B19" s="15">
        <f t="shared" ref="B19:Q19" si="4">SUM(B9:B11)</f>
        <v>1290.4379512644027</v>
      </c>
      <c r="C19" s="15">
        <f t="shared" si="4"/>
        <v>808.06445236157663</v>
      </c>
      <c r="D19" s="15">
        <f t="shared" si="4"/>
        <v>813.68397364352973</v>
      </c>
      <c r="E19" s="15">
        <f t="shared" si="4"/>
        <v>433.78156736641211</v>
      </c>
      <c r="F19" s="15">
        <f t="shared" si="4"/>
        <v>417.56360515373427</v>
      </c>
      <c r="G19" s="15">
        <f t="shared" si="4"/>
        <v>957.80167168332855</v>
      </c>
      <c r="H19" s="15">
        <f t="shared" si="4"/>
        <v>632.0071326708055</v>
      </c>
      <c r="I19" s="15">
        <f t="shared" si="4"/>
        <v>868.03167857948984</v>
      </c>
      <c r="J19" s="15">
        <f t="shared" si="4"/>
        <v>682.75716887521901</v>
      </c>
      <c r="K19" s="15">
        <f t="shared" si="4"/>
        <v>735.5736889352811</v>
      </c>
      <c r="L19" s="15">
        <f t="shared" si="4"/>
        <v>735.5736889352811</v>
      </c>
      <c r="M19" s="15">
        <f t="shared" si="4"/>
        <v>735.5736889352811</v>
      </c>
      <c r="N19" s="15">
        <f t="shared" si="4"/>
        <v>735.5736889352811</v>
      </c>
      <c r="O19" s="15">
        <f t="shared" si="4"/>
        <v>34.758733489286357</v>
      </c>
      <c r="P19" s="15">
        <f t="shared" si="4"/>
        <v>1143</v>
      </c>
      <c r="Q19" s="15">
        <f t="shared" si="4"/>
        <v>1143</v>
      </c>
    </row>
  </sheetData>
  <conditionalFormatting sqref="A1:Q11 A18:Q19">
    <cfRule type="expression" dxfId="0" priority="1">
      <formula>_xlfn.ISFORMULA(A1)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Fischer</dc:creator>
  <cp:lastModifiedBy>Martin Fischer</cp:lastModifiedBy>
  <dcterms:created xsi:type="dcterms:W3CDTF">2026-01-26T08:23:51Z</dcterms:created>
  <dcterms:modified xsi:type="dcterms:W3CDTF">2026-01-26T17:01:18Z</dcterms:modified>
</cp:coreProperties>
</file>